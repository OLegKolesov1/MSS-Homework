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ЭтаКнига"/>
  <xr:revisionPtr revIDLastSave="0" documentId="13_ncr:1_{45ACF2F7-B991-46A2-AF97-EFFA3CB2944D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ГУ 1 рода" sheetId="1" r:id="rId1"/>
    <sheet name="ГУ 2 рода" sheetId="2" r:id="rId2"/>
    <sheet name="ГУ 3 рода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" l="1"/>
  <c r="AJ13" i="3"/>
  <c r="C4" i="3"/>
  <c r="F13" i="3" s="1"/>
  <c r="C5" i="3" l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I15" i="3"/>
  <c r="G15" i="3"/>
  <c r="F16" i="2"/>
  <c r="C5" i="1"/>
  <c r="C4" i="2"/>
  <c r="C5" i="2" s="1"/>
  <c r="C4" i="1"/>
  <c r="G12" i="2" l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H15" i="3"/>
  <c r="P15" i="3"/>
  <c r="X15" i="3"/>
  <c r="AF15" i="3"/>
  <c r="I15" i="3"/>
  <c r="Q15" i="3"/>
  <c r="Y15" i="3"/>
  <c r="AG15" i="3"/>
  <c r="AA15" i="3"/>
  <c r="J15" i="3"/>
  <c r="R15" i="3"/>
  <c r="Z15" i="3"/>
  <c r="AH15" i="3"/>
  <c r="S15" i="3"/>
  <c r="T15" i="3"/>
  <c r="AB15" i="3"/>
  <c r="M15" i="3"/>
  <c r="K15" i="3"/>
  <c r="U15" i="3"/>
  <c r="V15" i="3"/>
  <c r="W15" i="3"/>
  <c r="L15" i="3"/>
  <c r="AC15" i="3"/>
  <c r="AD15" i="3"/>
  <c r="O15" i="3"/>
  <c r="AE15" i="3"/>
  <c r="N15" i="3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J13" i="1" l="1"/>
  <c r="AI15" i="1" s="1"/>
  <c r="G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2"/>
  <c r="H15" i="2"/>
  <c r="P15" i="2"/>
  <c r="X15" i="2"/>
  <c r="AF15" i="2"/>
  <c r="N15" i="2"/>
  <c r="V15" i="2"/>
  <c r="AD15" i="2"/>
  <c r="I15" i="2"/>
  <c r="Q15" i="2"/>
  <c r="Y15" i="2"/>
  <c r="AG15" i="2"/>
  <c r="O15" i="2"/>
  <c r="W15" i="2"/>
  <c r="AE15" i="2"/>
  <c r="H16" i="2"/>
  <c r="X16" i="2"/>
  <c r="Z15" i="2"/>
  <c r="AH16" i="2"/>
  <c r="AH15" i="2"/>
  <c r="U15" i="2"/>
  <c r="U16" i="2"/>
  <c r="AC15" i="2"/>
  <c r="S15" i="2"/>
  <c r="AA16" i="2"/>
  <c r="AA15" i="2"/>
  <c r="Z16" i="2"/>
  <c r="AC16" i="2"/>
  <c r="S16" i="2"/>
  <c r="O16" i="2"/>
  <c r="AE16" i="2"/>
  <c r="T16" i="2"/>
  <c r="T15" i="2"/>
  <c r="AB15" i="2"/>
  <c r="AB16" i="2"/>
  <c r="N16" i="2"/>
  <c r="AD16" i="2"/>
  <c r="M16" i="2"/>
  <c r="M15" i="2"/>
  <c r="K16" i="2"/>
  <c r="K15" i="2"/>
  <c r="L16" i="2"/>
  <c r="L15" i="2"/>
  <c r="P16" i="2"/>
  <c r="AF16" i="2"/>
  <c r="J16" i="2"/>
  <c r="J15" i="2"/>
  <c r="R15" i="2"/>
  <c r="R16" i="2"/>
  <c r="V16" i="2"/>
  <c r="I16" i="2"/>
  <c r="Y16" i="2"/>
  <c r="AI16" i="2"/>
  <c r="AI15" i="2"/>
  <c r="Q16" i="2"/>
  <c r="AG16" i="2"/>
  <c r="W16" i="2"/>
  <c r="G16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<sst xmlns="http://schemas.openxmlformats.org/spreadsheetml/2006/main" count="38" uniqueCount="15">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</sst>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5" fontId="0" fillId="0" borderId="0" xfId="0" applyNumberFormat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рода'!$G$12:$AK$12</c:f>
              <c:numCache>
                <c:formatCode>0.0000</c:formatCode>
                <c:ptCount val="31"/>
                <c:pt idx="0">
                  <c:v>3.3333333333333335E-3</c:v>
                </c:pt>
                <c:pt idx="1">
                  <c:v>6.6666666666666671E-3</c:v>
                </c:pt>
                <c:pt idx="2">
                  <c:v>0.01</c:v>
                </c:pt>
                <c:pt idx="3">
                  <c:v>1.3333333333333334E-2</c:v>
                </c:pt>
                <c:pt idx="4">
                  <c:v>1.6666666666666666E-2</c:v>
                </c:pt>
                <c:pt idx="5">
                  <c:v>0.02</c:v>
                </c:pt>
                <c:pt idx="6">
                  <c:v>2.3333333333333334E-2</c:v>
                </c:pt>
                <c:pt idx="7">
                  <c:v>2.6666666666666668E-2</c:v>
                </c:pt>
                <c:pt idx="8">
                  <c:v>3.0000000000000002E-2</c:v>
                </c:pt>
                <c:pt idx="9">
                  <c:v>3.3333333333333333E-2</c:v>
                </c:pt>
                <c:pt idx="10">
                  <c:v>3.6666666666666667E-2</c:v>
                </c:pt>
                <c:pt idx="11">
                  <c:v>0.04</c:v>
                </c:pt>
                <c:pt idx="12">
                  <c:v>4.3333333333333335E-2</c:v>
                </c:pt>
                <c:pt idx="13">
                  <c:v>4.6666666666666669E-2</c:v>
                </c:pt>
                <c:pt idx="14">
                  <c:v>0.05</c:v>
                </c:pt>
                <c:pt idx="15">
                  <c:v>5.3333333333333337E-2</c:v>
                </c:pt>
                <c:pt idx="16">
                  <c:v>5.6666666666666671E-2</c:v>
                </c:pt>
                <c:pt idx="17">
                  <c:v>6.0000000000000005E-2</c:v>
                </c:pt>
                <c:pt idx="18">
                  <c:v>6.3333333333333339E-2</c:v>
                </c:pt>
                <c:pt idx="19">
                  <c:v>6.6666666666666666E-2</c:v>
                </c:pt>
                <c:pt idx="20">
                  <c:v>6.9999999999999993E-2</c:v>
                </c:pt>
                <c:pt idx="21">
                  <c:v>7.333333333333332E-2</c:v>
                </c:pt>
                <c:pt idx="22">
                  <c:v>7.6666666666666647E-2</c:v>
                </c:pt>
                <c:pt idx="23">
                  <c:v>7.9999999999999974E-2</c:v>
                </c:pt>
                <c:pt idx="24">
                  <c:v>8.3333333333333301E-2</c:v>
                </c:pt>
                <c:pt idx="25">
                  <c:v>8.6666666666666628E-2</c:v>
                </c:pt>
                <c:pt idx="26">
                  <c:v>8.9999999999999955E-2</c:v>
                </c:pt>
                <c:pt idx="27">
                  <c:v>9.3333333333333282E-2</c:v>
                </c:pt>
                <c:pt idx="28">
                  <c:v>9.6666666666666609E-2</c:v>
                </c:pt>
                <c:pt idx="29">
                  <c:v>9.9999999999999936E-2</c:v>
                </c:pt>
              </c:numCache>
            </c:numRef>
          </c:xVal>
          <c:yVal>
            <c:numRef>
              <c:f>'ГУ 1 рода'!$G$13:$AK$13</c:f>
              <c:numCache>
                <c:formatCode>General</c:formatCode>
                <c:ptCount val="31"/>
                <c:pt idx="0">
                  <c:v>293.32310708172031</c:v>
                </c:pt>
                <c:pt idx="1">
                  <c:v>286.64621416344067</c:v>
                </c:pt>
                <c:pt idx="2">
                  <c:v>279.96976818142753</c:v>
                </c:pt>
                <c:pt idx="3">
                  <c:v>273.29332219941438</c:v>
                </c:pt>
                <c:pt idx="4">
                  <c:v>266.61775055667476</c:v>
                </c:pt>
                <c:pt idx="5">
                  <c:v>259.94217891393515</c:v>
                </c:pt>
                <c:pt idx="6">
                  <c:v>253.26787080065432</c:v>
                </c:pt>
                <c:pt idx="7">
                  <c:v>246.59356268737349</c:v>
                </c:pt>
                <c:pt idx="8">
                  <c:v>239.9208520714362</c:v>
                </c:pt>
                <c:pt idx="9">
                  <c:v>233.24814145549891</c:v>
                </c:pt>
                <c:pt idx="10">
                  <c:v>226.57729248649036</c:v>
                </c:pt>
                <c:pt idx="11">
                  <c:v>219.90644351748179</c:v>
                </c:pt>
                <c:pt idx="12">
                  <c:v>213.23763898208321</c:v>
                </c:pt>
                <c:pt idx="13">
                  <c:v>206.56883444668463</c:v>
                </c:pt>
                <c:pt idx="14">
                  <c:v>199.9021677800182</c:v>
                </c:pt>
                <c:pt idx="15">
                  <c:v>193.2355011133518</c:v>
                </c:pt>
                <c:pt idx="16">
                  <c:v>186.57097231541749</c:v>
                </c:pt>
                <c:pt idx="17">
                  <c:v>179.90644351748318</c:v>
                </c:pt>
                <c:pt idx="18">
                  <c:v>173.24395915315873</c:v>
                </c:pt>
                <c:pt idx="19">
                  <c:v>166.58147478883427</c:v>
                </c:pt>
                <c:pt idx="20">
                  <c:v>159.92085207143839</c:v>
                </c:pt>
                <c:pt idx="21">
                  <c:v>153.26022935404251</c:v>
                </c:pt>
                <c:pt idx="22">
                  <c:v>146.60120413398997</c:v>
                </c:pt>
                <c:pt idx="23">
                  <c:v>139.94217891393743</c:v>
                </c:pt>
                <c:pt idx="24">
                  <c:v>133.28441722334344</c:v>
                </c:pt>
                <c:pt idx="25">
                  <c:v>126.62665553274945</c:v>
                </c:pt>
                <c:pt idx="26">
                  <c:v>119.96976818142888</c:v>
                </c:pt>
                <c:pt idx="27">
                  <c:v>113.3128808301083</c:v>
                </c:pt>
                <c:pt idx="28">
                  <c:v>106.65644041505415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2752"/>
        <c:axId val="442579224"/>
      </c:scatterChart>
      <c:valAx>
        <c:axId val="4425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79224"/>
        <c:crosses val="autoZero"/>
        <c:crossBetween val="midCat"/>
      </c:valAx>
      <c:valAx>
        <c:axId val="442579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275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0792"/>
        <c:axId val="442581576"/>
      </c:scatterChart>
      <c:valAx>
        <c:axId val="4425807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1576"/>
        <c:crosses val="autoZero"/>
        <c:crossBetween val="midCat"/>
      </c:valAx>
      <c:valAx>
        <c:axId val="442581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079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57011852736012E-2"/>
          <c:y val="5.828780713926196E-2"/>
          <c:w val="0.83031245788652952"/>
          <c:h val="0.89313902024468639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953.10250589368536</c:v>
                </c:pt>
                <c:pt idx="1">
                  <c:v>957.83513274798747</c:v>
                </c:pt>
                <c:pt idx="2">
                  <c:v>962.58120264817671</c:v>
                </c:pt>
                <c:pt idx="3">
                  <c:v>967.34076789607286</c:v>
                </c:pt>
                <c:pt idx="4">
                  <c:v>972.11383622933818</c:v>
                </c:pt>
                <c:pt idx="5">
                  <c:v>976.90037075747352</c:v>
                </c:pt>
                <c:pt idx="6">
                  <c:v>981.70029014078068</c:v>
                </c:pt>
                <c:pt idx="7">
                  <c:v>986.51346878393315</c:v>
                </c:pt>
                <c:pt idx="8">
                  <c:v>991.33973734312667</c:v>
                </c:pt>
                <c:pt idx="9">
                  <c:v>996.17888317707309</c:v>
                </c:pt>
                <c:pt idx="10">
                  <c:v>1001.0306511726917</c:v>
                </c:pt>
                <c:pt idx="11">
                  <c:v>1005.8947444510402</c:v>
                </c:pt>
                <c:pt idx="12">
                  <c:v>1010.7708254966992</c:v>
                </c:pt>
                <c:pt idx="13">
                  <c:v>1015.6585171137008</c:v>
                </c:pt>
                <c:pt idx="14">
                  <c:v>1020.5574038389332</c:v>
                </c:pt>
                <c:pt idx="15">
                  <c:v>1025.4670331405362</c:v>
                </c:pt>
                <c:pt idx="16">
                  <c:v>1030.3869170913079</c:v>
                </c:pt>
                <c:pt idx="17">
                  <c:v>1035.3165337993137</c:v>
                </c:pt>
                <c:pt idx="18">
                  <c:v>1040.2553293134852</c:v>
                </c:pt>
                <c:pt idx="19">
                  <c:v>1045.2027192733567</c:v>
                </c:pt>
                <c:pt idx="20">
                  <c:v>1050.1580910158823</c:v>
                </c:pt>
                <c:pt idx="21">
                  <c:v>1055.1208054282843</c:v>
                </c:pt>
                <c:pt idx="22">
                  <c:v>1060.0901992226247</c:v>
                </c:pt>
                <c:pt idx="23">
                  <c:v>1065.0655869727748</c:v>
                </c:pt>
                <c:pt idx="24">
                  <c:v>1070.0462635214819</c:v>
                </c:pt>
                <c:pt idx="25">
                  <c:v>1075.0315061794981</c:v>
                </c:pt>
                <c:pt idx="26">
                  <c:v>1080.0205772287895</c:v>
                </c:pt>
                <c:pt idx="27">
                  <c:v>1085.0127262589572</c:v>
                </c:pt>
                <c:pt idx="28">
                  <c:v>1090.0071927298275</c:v>
                </c:pt>
                <c:pt idx="29">
                  <c:v>1095.0032084175398</c:v>
                </c:pt>
                <c:pt idx="30">
                  <c:v>1100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581968"/>
        <c:axId val="442583144"/>
      </c:scatterChart>
      <c:valAx>
        <c:axId val="4425819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3144"/>
        <c:crosses val="autoZero"/>
        <c:crossBetween val="midCat"/>
      </c:valAx>
      <c:valAx>
        <c:axId val="442583144"/>
        <c:scaling>
          <c:orientation val="minMax"/>
          <c:max val="125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58196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4571999" y="3479131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17</xdr:row>
      <xdr:rowOff>57148</xdr:rowOff>
    </xdr:from>
    <xdr:to>
      <xdr:col>13</xdr:col>
      <xdr:colOff>119062</xdr:colOff>
      <xdr:row>42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476250</xdr:colOff>
      <xdr:row>17</xdr:row>
      <xdr:rowOff>142875</xdr:rowOff>
    </xdr:from>
    <xdr:ext cx="619125" cy="58340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548063" y="3381375"/>
          <a:ext cx="619125" cy="583406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130968</xdr:colOff>
      <xdr:row>41</xdr:row>
      <xdr:rowOff>95250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29"/>
  <sheetViews>
    <sheetView zoomScale="70" zoomScaleNormal="70" workbookViewId="0">
      <selection activeCell="AI25" sqref="AI25"/>
    </sheetView>
  </sheetViews>
  <sheetFormatPr defaultRowHeight="14.4" x14ac:dyDescent="0.3"/>
  <cols>
    <col min="3" max="3" width="9.5546875" bestFit="1" customWidth="1"/>
    <col min="6" max="10" width="7.109375" bestFit="1" customWidth="1"/>
    <col min="11" max="11" width="7.109375" customWidth="1"/>
    <col min="12" max="36" width="7.1093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7" spans="2:36" x14ac:dyDescent="0.3">
      <c r="B7" s="6"/>
      <c r="C7" s="6"/>
    </row>
    <row r="8" spans="2:36" x14ac:dyDescent="0.3">
      <c r="B8" s="2" t="s">
        <v>4</v>
      </c>
      <c r="C8" s="2">
        <v>460</v>
      </c>
    </row>
    <row r="9" spans="2:36" x14ac:dyDescent="0.3">
      <c r="B9" s="5" t="s">
        <v>5</v>
      </c>
      <c r="C9" s="5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6" x14ac:dyDescent="0.3">
      <c r="U29" s="7"/>
    </row>
  </sheetData>
  <conditionalFormatting sqref="F13:AJ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K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6"/>
  <sheetViews>
    <sheetView topLeftCell="E1" zoomScale="70" zoomScaleNormal="70" workbookViewId="0">
      <selection activeCell="W27" sqref="W27"/>
    </sheetView>
  </sheetViews>
  <sheetFormatPr defaultRowHeight="14.4" x14ac:dyDescent="0.3"/>
  <cols>
    <col min="3" max="3" width="9.55468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5000</v>
      </c>
      <c r="D6" s="9">
        <v>5000</v>
      </c>
    </row>
    <row r="7" spans="2:36" x14ac:dyDescent="0.3">
      <c r="B7" s="1"/>
      <c r="C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9200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v>100</v>
      </c>
    </row>
    <row r="15" spans="2:36" x14ac:dyDescent="0.3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 x14ac:dyDescent="0.3">
      <c r="E16" t="s">
        <v>12</v>
      </c>
      <c r="F16" s="1">
        <f>C12</f>
        <v>9200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AJ15"/>
  <sheetViews>
    <sheetView tabSelected="1" zoomScale="80" zoomScaleNormal="80" workbookViewId="0">
      <selection activeCell="X24" sqref="X24"/>
    </sheetView>
  </sheetViews>
  <sheetFormatPr defaultRowHeight="14.4" x14ac:dyDescent="0.3"/>
  <cols>
    <col min="3" max="3" width="9.55468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f>(C9*C8*C4^2)/(2*C10)</f>
        <v>0.4333333333333334</v>
      </c>
    </row>
    <row r="6" spans="2:36" x14ac:dyDescent="0.3">
      <c r="B6" s="2" t="s">
        <v>3</v>
      </c>
      <c r="C6" s="2">
        <v>1500</v>
      </c>
      <c r="D6">
        <v>1500.2000000000003</v>
      </c>
    </row>
    <row r="7" spans="2:36" x14ac:dyDescent="0.3">
      <c r="B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3">
      <c r="B12" s="2" t="s">
        <v>13</v>
      </c>
      <c r="C12" s="2">
        <v>300</v>
      </c>
      <c r="E12" t="s">
        <v>0</v>
      </c>
      <c r="F12" s="8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3">
      <c r="B13" s="2" t="s">
        <v>9</v>
      </c>
      <c r="C13" s="2">
        <v>1100</v>
      </c>
      <c r="E13" t="s">
        <v>7</v>
      </c>
      <c r="F13">
        <f>(G13+$C$12*$C$14*$C$4/$C$10)/(1+$C$14*$C$4/$C$10)</f>
        <v>953.10250589368536</v>
      </c>
      <c r="G13">
        <v>957.83513274798747</v>
      </c>
      <c r="H13">
        <v>962.58120264817671</v>
      </c>
      <c r="I13">
        <v>967.34076789607286</v>
      </c>
      <c r="J13">
        <v>972.11383622933818</v>
      </c>
      <c r="K13">
        <v>976.90037075747352</v>
      </c>
      <c r="L13">
        <v>981.70029014078068</v>
      </c>
      <c r="M13">
        <v>986.51346878393315</v>
      </c>
      <c r="N13">
        <v>991.33973734312667</v>
      </c>
      <c r="O13">
        <v>996.17888317707309</v>
      </c>
      <c r="P13">
        <v>1001.0306511726917</v>
      </c>
      <c r="Q13">
        <v>1005.8947444510402</v>
      </c>
      <c r="R13">
        <v>1010.7708254966992</v>
      </c>
      <c r="S13">
        <v>1015.6585171137008</v>
      </c>
      <c r="T13">
        <v>1020.5574038389332</v>
      </c>
      <c r="U13">
        <v>1025.4670331405362</v>
      </c>
      <c r="V13">
        <v>1030.3869170913079</v>
      </c>
      <c r="W13">
        <v>1035.3165337993137</v>
      </c>
      <c r="X13">
        <v>1040.2553293134852</v>
      </c>
      <c r="Y13">
        <v>1045.2027192733567</v>
      </c>
      <c r="Z13">
        <v>1050.1580910158823</v>
      </c>
      <c r="AA13">
        <v>1055.1208054282843</v>
      </c>
      <c r="AB13">
        <v>1060.0901992226247</v>
      </c>
      <c r="AC13">
        <v>1065.0655869727748</v>
      </c>
      <c r="AD13">
        <v>1070.0462635214819</v>
      </c>
      <c r="AE13">
        <v>1075.0315061794981</v>
      </c>
      <c r="AF13">
        <v>1080.0205772287895</v>
      </c>
      <c r="AG13">
        <v>1085.0127262589572</v>
      </c>
      <c r="AH13">
        <v>1090.0071927298275</v>
      </c>
      <c r="AI13">
        <v>1095.0032084175398</v>
      </c>
      <c r="AJ13">
        <f>C13</f>
        <v>1100</v>
      </c>
    </row>
    <row r="14" spans="2:36" x14ac:dyDescent="0.3">
      <c r="B14" s="2" t="s">
        <v>14</v>
      </c>
      <c r="C14" s="2">
        <v>100</v>
      </c>
    </row>
    <row r="15" spans="2:36" x14ac:dyDescent="0.3">
      <c r="E15" t="s">
        <v>10</v>
      </c>
      <c r="G15">
        <f>G13+(($C$10*$C$5)/($C$9*$C$8))*( (H13-2*G13+F13)/($C$4^2))</f>
        <v>957.84185427093098</v>
      </c>
      <c r="H15">
        <f t="shared" ref="H15:AI15" si="1">H13+(($C$10*$C$5)/($C$9*$C$8))*( (I13-2*H13+G13)/($C$4^2))</f>
        <v>962.58795032203011</v>
      </c>
      <c r="I15">
        <f t="shared" si="1"/>
        <v>967.34751943875744</v>
      </c>
      <c r="J15">
        <f t="shared" si="1"/>
        <v>972.12056932677319</v>
      </c>
      <c r="K15">
        <f t="shared" si="1"/>
        <v>976.90706318505943</v>
      </c>
      <c r="L15">
        <f t="shared" si="1"/>
        <v>981.70691977070328</v>
      </c>
      <c r="M15">
        <f t="shared" si="1"/>
        <v>986.52001374195368</v>
      </c>
      <c r="N15">
        <f t="shared" si="1"/>
        <v>991.34617598050318</v>
      </c>
      <c r="O15">
        <f t="shared" si="1"/>
        <v>996.18519425790919</v>
      </c>
      <c r="P15">
        <f t="shared" si="1"/>
        <v>1001.0368138140566</v>
      </c>
      <c r="Q15">
        <f t="shared" si="1"/>
        <v>1005.9007383346955</v>
      </c>
      <c r="R15">
        <f t="shared" si="1"/>
        <v>1010.7766307823705</v>
      </c>
      <c r="S15">
        <f t="shared" si="1"/>
        <v>1015.6641146678162</v>
      </c>
      <c r="T15">
        <f t="shared" si="1"/>
        <v>1020.5627751271185</v>
      </c>
      <c r="U15">
        <f t="shared" si="1"/>
        <v>1025.4721604651204</v>
      </c>
      <c r="V15">
        <f t="shared" si="1"/>
        <v>1030.391783469925</v>
      </c>
      <c r="W15">
        <f t="shared" si="1"/>
        <v>1035.3211232023964</v>
      </c>
      <c r="X15">
        <f t="shared" si="1"/>
        <v>1040.2596265363352</v>
      </c>
      <c r="Y15">
        <f t="shared" si="1"/>
        <v>1045.2067101646837</v>
      </c>
      <c r="Z15">
        <f t="shared" si="1"/>
        <v>1050.1617623508205</v>
      </c>
      <c r="AA15">
        <f t="shared" si="1"/>
        <v>1055.1241451192536</v>
      </c>
      <c r="AB15">
        <f t="shared" si="1"/>
        <v>1060.0931962005295</v>
      </c>
      <c r="AC15">
        <f t="shared" si="1"/>
        <v>1065.0682313720533</v>
      </c>
      <c r="AD15">
        <f t="shared" si="1"/>
        <v>1070.0485465761365</v>
      </c>
      <c r="AE15">
        <f t="shared" si="1"/>
        <v>1075.0334203751358</v>
      </c>
      <c r="AF15">
        <f t="shared" si="1"/>
        <v>1080.0221162192277</v>
      </c>
      <c r="AG15">
        <f t="shared" si="1"/>
        <v>1085.0138849793084</v>
      </c>
      <c r="AH15">
        <f t="shared" si="1"/>
        <v>1090.0079673382484</v>
      </c>
      <c r="AI15">
        <f t="shared" si="1"/>
        <v>1095.0035963649138</v>
      </c>
    </row>
  </sheetData>
  <conditionalFormatting sqref="F13:AJ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2021-11-11T15:34:51Z</dcterms:modified>
</cp:coreProperties>
</file>